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Fi\OneDrive\Documentos\Adrielly\"/>
    </mc:Choice>
  </mc:AlternateContent>
  <xr:revisionPtr revIDLastSave="0" documentId="8_{46496907-6904-48EB-B1FD-7895ADC06F37}" xr6:coauthVersionLast="47" xr6:coauthVersionMax="47" xr10:uidLastSave="{00000000-0000-0000-0000-000000000000}"/>
  <bookViews>
    <workbookView xWindow="-120" yWindow="-120" windowWidth="20730" windowHeight="11160" xr2:uid="{0832639D-C490-4E32-8258-0C92332203F1}"/>
  </bookViews>
  <sheets>
    <sheet name="Planilha1" sheetId="1" r:id="rId1"/>
    <sheet name="Planilha2" sheetId="2" r:id="rId2"/>
  </sheets>
  <definedNames>
    <definedName name="aporte">Planilha1!$D$19</definedName>
    <definedName name="patrimonio">Planilha1!$D$22</definedName>
    <definedName name="qnd_anos">Planilha1!$D$20</definedName>
    <definedName name="rendimento_carteira">Planilha1!$D$14</definedName>
    <definedName name="salario">Planilha1!$D$13</definedName>
    <definedName name="sugestao_investimento">Planilha1!$D$15</definedName>
    <definedName name="taxa">Planilha1!$D$21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D35" i="1"/>
  <c r="C29" i="1"/>
  <c r="C28" i="1"/>
  <c r="C30" i="1"/>
  <c r="C31" i="1"/>
  <c r="C27" i="1"/>
  <c r="D22" i="1"/>
  <c r="D23" i="1" s="1"/>
  <c r="D31" i="1"/>
  <c r="D30" i="1"/>
  <c r="D29" i="1"/>
  <c r="D28" i="1"/>
  <c r="D27" i="1"/>
  <c r="D15" i="1"/>
  <c r="D43" i="1" l="1"/>
  <c r="D39" i="1"/>
  <c r="D40" i="1"/>
  <c r="D41" i="1"/>
  <c r="D42" i="1"/>
  <c r="D38" i="1"/>
  <c r="D44" i="1" s="1"/>
</calcChain>
</file>

<file path=xl/sharedStrings.xml><?xml version="1.0" encoding="utf-8"?>
<sst xmlns="http://schemas.openxmlformats.org/spreadsheetml/2006/main" count="69" uniqueCount="34">
  <si>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</si>
  <si>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</si>
  <si>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</si>
  <si>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</si>
  <si>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</si>
  <si>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</si>
  <si>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Cenarios</t>
  </si>
  <si>
    <t>Quanto em 2 anos?</t>
  </si>
  <si>
    <t>Quanto em 5 anos?</t>
  </si>
  <si>
    <t>Quantos em 10 anos?</t>
  </si>
  <si>
    <t>Quantos em 20 anos?</t>
  </si>
  <si>
    <t>Quantos em 30 anos?</t>
  </si>
  <si>
    <t>Dividendos</t>
  </si>
  <si>
    <t xml:space="preserve"> Configuração</t>
  </si>
  <si>
    <t>Salario</t>
  </si>
  <si>
    <t>Rendimento carteira</t>
  </si>
  <si>
    <t>Sugestão de investimento</t>
  </si>
  <si>
    <t>Conservador</t>
  </si>
  <si>
    <t>Moderado</t>
  </si>
  <si>
    <t>Agressivo</t>
  </si>
  <si>
    <t>PERFIL</t>
  </si>
  <si>
    <t>VALOR A SER INVESTIDO POR MÊS</t>
  </si>
  <si>
    <t>TIPOS DE FII</t>
  </si>
  <si>
    <t>PAPEL</t>
  </si>
  <si>
    <t>TIJOLO</t>
  </si>
  <si>
    <t>HIBRIDOS</t>
  </si>
  <si>
    <t>FOFS</t>
  </si>
  <si>
    <t>DESENVOLVIMENTO</t>
  </si>
  <si>
    <t>HOTELARIAS</t>
  </si>
  <si>
    <t>Valores</t>
  </si>
  <si>
    <t>Percentual sugerido</t>
  </si>
  <si>
    <t>%</t>
  </si>
  <si>
    <t>CHAVE</t>
  </si>
  <si>
    <t>TTIPOS DE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</si>
</sst>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&quot;R$&quot;\ #,##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Georgia Pro Cond Semibold"/>
      <family val="1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8" tint="0.59996337778862885"/>
      </left>
      <right style="medium">
        <color indexed="64"/>
      </right>
      <top/>
      <bottom style="thin">
        <color theme="8" tint="0.59996337778862885"/>
      </bottom>
      <diagonal/>
    </border>
    <border>
      <left style="medium">
        <color indexed="64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indexed="64"/>
      </right>
      <top style="thin">
        <color theme="8" tint="0.59996337778862885"/>
      </top>
      <bottom style="thin">
        <color theme="8" tint="0.59996337778862885"/>
      </bottom>
      <diagonal/>
    </border>
    <border>
      <left style="medium">
        <color indexed="64"/>
      </left>
      <right style="thin">
        <color theme="8" tint="0.59996337778862885"/>
      </right>
      <top style="thin">
        <color theme="8" tint="0.59996337778862885"/>
      </top>
      <bottom style="medium">
        <color indexed="64"/>
      </bottom>
      <diagonal/>
    </border>
    <border>
      <left style="thin">
        <color theme="8" tint="0.59996337778862885"/>
      </left>
      <right style="medium">
        <color indexed="64"/>
      </right>
      <top style="thin">
        <color theme="8" tint="0.59996337778862885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medium">
        <color indexed="64"/>
      </bottom>
      <diagonal/>
    </border>
    <border>
      <left style="thin">
        <color theme="8" tint="0.5999633777886288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8" tint="0.59996337778862885"/>
      </top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medium">
        <color indexed="64"/>
      </left>
      <right/>
      <top style="thin">
        <color theme="8" tint="0.59996337778862885"/>
      </top>
      <bottom style="medium">
        <color indexed="64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8" tint="0.59996337778862885"/>
      </bottom>
      <diagonal/>
    </border>
    <border>
      <left/>
      <right style="medium">
        <color indexed="64"/>
      </right>
      <top style="medium">
        <color indexed="64"/>
      </top>
      <bottom style="thin">
        <color theme="8" tint="0.59996337778862885"/>
      </bottom>
      <diagonal/>
    </border>
    <border>
      <left style="medium">
        <color indexed="64"/>
      </left>
      <right/>
      <top style="medium">
        <color indexed="64"/>
      </top>
      <bottom style="thin">
        <color theme="8" tint="0.59996337778862885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2" borderId="2" xfId="0" applyFont="1" applyFill="1" applyBorder="1" applyAlignment="1">
      <alignment horizontal="center"/>
    </xf>
    <xf numFmtId="8" fontId="2" fillId="3" borderId="5" xfId="0" applyNumberFormat="1" applyFont="1" applyFill="1" applyBorder="1"/>
    <xf numFmtId="8" fontId="2" fillId="3" borderId="7" xfId="0" applyNumberFormat="1" applyFont="1" applyFill="1" applyBorder="1"/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0" fontId="0" fillId="0" borderId="5" xfId="1" applyNumberFormat="1" applyFont="1" applyBorder="1" applyAlignment="1">
      <alignment horizontal="left" vertical="center"/>
    </xf>
    <xf numFmtId="0" fontId="8" fillId="3" borderId="4" xfId="0" applyFont="1" applyFill="1" applyBorder="1"/>
    <xf numFmtId="0" fontId="8" fillId="3" borderId="6" xfId="0" applyFont="1" applyFill="1" applyBorder="1"/>
    <xf numFmtId="0" fontId="7" fillId="3" borderId="12" xfId="0" applyFont="1" applyFill="1" applyBorder="1" applyAlignment="1">
      <alignment horizontal="left" vertical="center" indent="1"/>
    </xf>
    <xf numFmtId="0" fontId="7" fillId="3" borderId="13" xfId="0" applyFont="1" applyFill="1" applyBorder="1" applyAlignment="1">
      <alignment horizontal="left" vertical="center" indent="1"/>
    </xf>
    <xf numFmtId="0" fontId="8" fillId="3" borderId="12" xfId="0" applyFont="1" applyFill="1" applyBorder="1" applyAlignment="1">
      <alignment horizontal="left" vertical="center" indent="1"/>
    </xf>
    <xf numFmtId="0" fontId="8" fillId="3" borderId="13" xfId="0" applyFont="1" applyFill="1" applyBorder="1" applyAlignment="1">
      <alignment horizontal="left" vertical="center" indent="1"/>
    </xf>
    <xf numFmtId="0" fontId="8" fillId="3" borderId="14" xfId="0" applyFont="1" applyFill="1" applyBorder="1" applyAlignment="1">
      <alignment horizontal="left" vertical="center" indent="1"/>
    </xf>
    <xf numFmtId="0" fontId="8" fillId="3" borderId="15" xfId="0" applyFont="1" applyFill="1" applyBorder="1" applyAlignment="1">
      <alignment horizontal="left" vertical="center" indent="1"/>
    </xf>
    <xf numFmtId="0" fontId="7" fillId="3" borderId="14" xfId="0" applyFont="1" applyFill="1" applyBorder="1" applyAlignment="1">
      <alignment horizontal="left" vertical="center" indent="1"/>
    </xf>
    <xf numFmtId="0" fontId="7" fillId="3" borderId="15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left" vertical="center"/>
    </xf>
    <xf numFmtId="165" fontId="0" fillId="0" borderId="5" xfId="0" applyNumberFormat="1" applyBorder="1" applyAlignment="1">
      <alignment horizontal="left" vertical="center"/>
    </xf>
    <xf numFmtId="8" fontId="2" fillId="3" borderId="9" xfId="0" applyNumberFormat="1" applyFont="1" applyFill="1" applyBorder="1"/>
    <xf numFmtId="8" fontId="2" fillId="3" borderId="3" xfId="0" applyNumberFormat="1" applyFont="1" applyFill="1" applyBorder="1"/>
    <xf numFmtId="8" fontId="2" fillId="3" borderId="10" xfId="0" applyNumberFormat="1" applyFont="1" applyFill="1" applyBorder="1"/>
    <xf numFmtId="8" fontId="2" fillId="3" borderId="11" xfId="0" applyNumberFormat="1" applyFont="1" applyFill="1" applyBorder="1"/>
    <xf numFmtId="0" fontId="9" fillId="0" borderId="0" xfId="0" applyFont="1"/>
    <xf numFmtId="0" fontId="3" fillId="4" borderId="1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vertical="center"/>
    </xf>
    <xf numFmtId="165" fontId="2" fillId="3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9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/>
    <xf numFmtId="9" fontId="0" fillId="0" borderId="0" xfId="1" applyFont="1"/>
    <xf numFmtId="0" fontId="0" fillId="4" borderId="0" xfId="0" applyFill="1"/>
    <xf numFmtId="0" fontId="6" fillId="4" borderId="0" xfId="0" applyFont="1" applyFill="1"/>
    <xf numFmtId="0" fontId="10" fillId="4" borderId="1" xfId="0" applyFont="1" applyFill="1" applyBorder="1"/>
    <xf numFmtId="0" fontId="10" fillId="4" borderId="8" xfId="0" applyFont="1" applyFill="1" applyBorder="1"/>
    <xf numFmtId="0" fontId="0" fillId="3" borderId="19" xfId="0" applyFill="1" applyBorder="1"/>
    <xf numFmtId="0" fontId="0" fillId="3" borderId="20" xfId="0" applyFill="1" applyBorder="1"/>
    <xf numFmtId="0" fontId="2" fillId="3" borderId="20" xfId="0" applyFont="1" applyFill="1" applyBorder="1" applyAlignment="1">
      <alignment horizontal="left" vertical="center"/>
    </xf>
    <xf numFmtId="0" fontId="0" fillId="3" borderId="22" xfId="0" applyFill="1" applyBorder="1"/>
    <xf numFmtId="0" fontId="0" fillId="3" borderId="23" xfId="0" applyFill="1" applyBorder="1"/>
    <xf numFmtId="0" fontId="2" fillId="3" borderId="23" xfId="0" applyFont="1" applyFill="1" applyBorder="1" applyAlignment="1">
      <alignment horizontal="left" vertical="center"/>
    </xf>
    <xf numFmtId="0" fontId="0" fillId="3" borderId="25" xfId="0" applyFill="1" applyBorder="1"/>
    <xf numFmtId="0" fontId="0" fillId="3" borderId="26" xfId="0" applyFill="1" applyBorder="1"/>
    <xf numFmtId="0" fontId="2" fillId="3" borderId="26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9" fontId="0" fillId="3" borderId="21" xfId="0" applyNumberFormat="1" applyFill="1" applyBorder="1"/>
    <xf numFmtId="9" fontId="0" fillId="3" borderId="24" xfId="0" applyNumberFormat="1" applyFill="1" applyBorder="1"/>
    <xf numFmtId="9" fontId="0" fillId="3" borderId="27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504825</xdr:colOff>
      <xdr:row>0</xdr:row>
      <xdr:rowOff>85724</xdr:rowOff>
    </xdr:from>
    <xdr:to>
      <xdr:col>4</xdr:col>
      <xdr:colOff>38100</xdr:colOff>
      <xdr:row>8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6036869-2587-85ED-2D93-1783B70D6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85724"/>
          <a:ext cx="5200650" cy="15525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60AD-6929-499E-ACBE-AB27CD0CE4D4}">
  <dimension ref="A11:F54"/>
  <sheetViews>
    <sheetView showGridLines="0" tabSelected="1" topLeftCell="A17" workbookViewId="0">
      <selection activeCell="D34" sqref="D34"/>
    </sheetView>
  </sheetViews>
  <sheetFormatPr defaultColWidth="0" defaultRowHeight="15" x14ac:dyDescent="0.25"/>
  <cols>
    <col min="1" max="1" width="8.140625" customWidth="1"/>
    <col min="2" max="2" width="30.5703125" customWidth="1"/>
    <col min="3" max="3" width="26.42578125" customWidth="1"/>
    <col min="4" max="4" width="19.85546875" customWidth="1"/>
    <col min="5" max="5" width="8.85546875" customWidth="1"/>
    <col min="6" max="6" width="8.140625" hidden="1" customWidth="1"/>
    <col min="7" max="7" width="9.140625" hidden="1" customWidth="1"/>
    <col min="8" max="16384" width="9.140625" hidden="1"/>
  </cols>
  <sheetData>
    <row r="11" spans="2:4" ht="15.75" thickBot="1" x14ac:dyDescent="0.3"/>
    <row r="12" spans="2:4" ht="28.5" x14ac:dyDescent="0.25">
      <c r="B12" s="28" t="s">
        <v>13</v>
      </c>
      <c r="C12" s="29"/>
      <c r="D12" s="30"/>
    </row>
    <row r="13" spans="2:4" ht="15.75" x14ac:dyDescent="0.25">
      <c r="B13" s="11" t="s">
        <v>14</v>
      </c>
      <c r="C13" s="12"/>
      <c r="D13" s="22">
        <v>5</v>
      </c>
    </row>
    <row r="14" spans="2:4" ht="15.75" x14ac:dyDescent="0.25">
      <c r="B14" s="11" t="s">
        <v>15</v>
      </c>
      <c r="C14" s="12"/>
      <c r="D14" s="6">
        <v>0.01</v>
      </c>
    </row>
    <row r="15" spans="2:4" ht="16.5" thickBot="1" x14ac:dyDescent="0.3">
      <c r="B15" s="17" t="s">
        <v>16</v>
      </c>
      <c r="C15" s="18"/>
      <c r="D15" s="31">
        <f>D13*30%</f>
        <v>1.5</v>
      </c>
    </row>
    <row r="17" spans="1:4" ht="15.75" thickBot="1" x14ac:dyDescent="0.3"/>
    <row r="18" spans="1:4" ht="28.5" x14ac:dyDescent="0.45">
      <c r="B18" s="19" t="s">
        <v>0</v>
      </c>
      <c r="C18" s="20"/>
      <c r="D18" s="1"/>
    </row>
    <row r="19" spans="1:4" ht="15.75" x14ac:dyDescent="0.25">
      <c r="B19" s="11" t="s">
        <v>1</v>
      </c>
      <c r="C19" s="12"/>
      <c r="D19" s="21">
        <v>500</v>
      </c>
    </row>
    <row r="20" spans="1:4" ht="15.75" x14ac:dyDescent="0.25">
      <c r="B20" s="11" t="s">
        <v>2</v>
      </c>
      <c r="C20" s="12"/>
      <c r="D20" s="7">
        <v>5</v>
      </c>
    </row>
    <row r="21" spans="1:4" ht="15.75" x14ac:dyDescent="0.25">
      <c r="B21" s="11" t="s">
        <v>3</v>
      </c>
      <c r="C21" s="12"/>
      <c r="D21" s="8">
        <v>1.0789999999999999E-2</v>
      </c>
    </row>
    <row r="22" spans="1:4" ht="15.75" x14ac:dyDescent="0.25">
      <c r="B22" s="13" t="s">
        <v>4</v>
      </c>
      <c r="C22" s="14"/>
      <c r="D22" s="2">
        <f>FV(taxa,qnd_anos*12,aporte*-1)</f>
        <v>41888.456999243819</v>
      </c>
    </row>
    <row r="23" spans="1:4" ht="16.5" thickBot="1" x14ac:dyDescent="0.3">
      <c r="B23" s="15" t="s">
        <v>5</v>
      </c>
      <c r="C23" s="16"/>
      <c r="D23" s="3">
        <f>(patrimonio*rendimento_carteira)</f>
        <v>418.88456999243817</v>
      </c>
    </row>
    <row r="25" spans="1:4" ht="15.75" thickBot="1" x14ac:dyDescent="0.3">
      <c r="D25" s="27"/>
    </row>
    <row r="26" spans="1:4" ht="28.5" x14ac:dyDescent="0.25">
      <c r="B26" s="19" t="s">
        <v>6</v>
      </c>
      <c r="C26" s="20"/>
      <c r="D26" s="5" t="s">
        <v>12</v>
      </c>
    </row>
    <row r="27" spans="1:4" ht="15.75" x14ac:dyDescent="0.25">
      <c r="A27" s="4">
        <v>2</v>
      </c>
      <c r="B27" s="9" t="s">
        <v>7</v>
      </c>
      <c r="C27" s="23">
        <f>FV(taxa,$A27*12,aporte*-1)</f>
        <v>13613.813648822608</v>
      </c>
      <c r="D27" s="2">
        <f>C27*rendimento_carteira</f>
        <v>136.13813648822608</v>
      </c>
    </row>
    <row r="28" spans="1:4" ht="15.75" x14ac:dyDescent="0.25">
      <c r="A28" s="4">
        <v>5</v>
      </c>
      <c r="B28" s="9" t="s">
        <v>8</v>
      </c>
      <c r="C28" s="23">
        <f>FV(taxa,$A28*12,aporte*-1)</f>
        <v>41888.456999243819</v>
      </c>
      <c r="D28" s="24">
        <f>C28*rendimento_carteira</f>
        <v>418.88456999243817</v>
      </c>
    </row>
    <row r="29" spans="1:4" ht="15.75" x14ac:dyDescent="0.25">
      <c r="A29" s="4">
        <v>10</v>
      </c>
      <c r="B29" s="9" t="s">
        <v>9</v>
      </c>
      <c r="C29" s="23">
        <f>FV(taxa,$A29*12,aporte*-1)</f>
        <v>121642.1062650861</v>
      </c>
      <c r="D29" s="24">
        <f>C29*rendimento_carteira</f>
        <v>1216.4210626508609</v>
      </c>
    </row>
    <row r="30" spans="1:4" ht="15.75" x14ac:dyDescent="0.25">
      <c r="A30" s="4">
        <v>20</v>
      </c>
      <c r="B30" s="9" t="s">
        <v>10</v>
      </c>
      <c r="C30" s="23">
        <f>FV(taxa,$A30*12,aporte*-1)</f>
        <v>562599.20004854025</v>
      </c>
      <c r="D30" s="24">
        <f>C30*rendimento_carteira</f>
        <v>5625.992000485403</v>
      </c>
    </row>
    <row r="31" spans="1:4" ht="16.5" thickBot="1" x14ac:dyDescent="0.3">
      <c r="A31" s="4">
        <v>30</v>
      </c>
      <c r="B31" s="10" t="s">
        <v>11</v>
      </c>
      <c r="C31" s="25">
        <f>FV(taxa,$A31*12,aporte*-1)</f>
        <v>2161084.8275023573</v>
      </c>
      <c r="D31" s="26">
        <f>C31*rendimento_carteira</f>
        <v>21610.848275023574</v>
      </c>
    </row>
    <row r="34" spans="2:4" x14ac:dyDescent="0.25">
      <c r="B34" s="43" t="s">
        <v>20</v>
      </c>
      <c r="C34" s="42"/>
      <c r="D34" s="43" t="s">
        <v>17</v>
      </c>
    </row>
    <row r="35" spans="2:4" x14ac:dyDescent="0.25">
      <c r="B35" s="36" t="s">
        <v>21</v>
      </c>
      <c r="C35" s="36"/>
      <c r="D35" s="37">
        <f>aporte</f>
        <v>500</v>
      </c>
    </row>
    <row r="37" spans="2:4" x14ac:dyDescent="0.25">
      <c r="B37" s="39" t="s">
        <v>22</v>
      </c>
      <c r="C37" s="35" t="s">
        <v>30</v>
      </c>
      <c r="D37" s="35" t="s">
        <v>29</v>
      </c>
    </row>
    <row r="38" spans="2:4" x14ac:dyDescent="0.25">
      <c r="B38" s="32" t="s">
        <v>23</v>
      </c>
      <c r="C38" s="33">
        <f>VLOOKUP($D$34&amp;"-"&amp;B38,Planilha2!$B$2:$E$20,4,FALSE)</f>
        <v>0.3</v>
      </c>
      <c r="D38" s="38">
        <f>C38*$D$35</f>
        <v>150</v>
      </c>
    </row>
    <row r="39" spans="2:4" x14ac:dyDescent="0.25">
      <c r="B39" s="32" t="s">
        <v>24</v>
      </c>
      <c r="C39" s="33">
        <f>VLOOKUP($D$34&amp;"-"&amp;B39,Planilha2!$B$2:$E$20,4,FALSE)</f>
        <v>0.5</v>
      </c>
      <c r="D39" s="38">
        <f>C39*$D$35</f>
        <v>250</v>
      </c>
    </row>
    <row r="40" spans="2:4" x14ac:dyDescent="0.25">
      <c r="B40" s="32" t="s">
        <v>25</v>
      </c>
      <c r="C40" s="33">
        <f>VLOOKUP($D$34&amp;"-"&amp;B40,Planilha2!$B$2:$E$20,4,FALSE)</f>
        <v>0.1</v>
      </c>
      <c r="D40" s="38">
        <f>C40*$D$35</f>
        <v>50</v>
      </c>
    </row>
    <row r="41" spans="2:4" x14ac:dyDescent="0.25">
      <c r="B41" s="32" t="s">
        <v>26</v>
      </c>
      <c r="C41" s="33">
        <f>VLOOKUP($D$34&amp;"-"&amp;B41,Planilha2!$B$2:$E$20,4,FALSE)</f>
        <v>0.1</v>
      </c>
      <c r="D41" s="38">
        <f>C41*$D$35</f>
        <v>50</v>
      </c>
    </row>
    <row r="42" spans="2:4" x14ac:dyDescent="0.25">
      <c r="B42" s="32" t="s">
        <v>27</v>
      </c>
      <c r="C42" s="33">
        <f>VLOOKUP($D$34&amp;"-"&amp;B42,Planilha2!$B$2:$E$20,4,FALSE)</f>
        <v>0</v>
      </c>
      <c r="D42" s="38">
        <f>C42*$D$35</f>
        <v>0</v>
      </c>
    </row>
    <row r="43" spans="2:4" x14ac:dyDescent="0.25">
      <c r="B43" s="32" t="s">
        <v>28</v>
      </c>
      <c r="C43" s="33">
        <f>VLOOKUP($D$34&amp;"-"&amp;B43,Planilha2!$B$2:$E$20,4,FALSE)</f>
        <v>0</v>
      </c>
      <c r="D43" s="38">
        <f>C43*$D$35</f>
        <v>0</v>
      </c>
    </row>
    <row r="44" spans="2:4" x14ac:dyDescent="0.25">
      <c r="B44" s="34"/>
      <c r="C44" s="34"/>
      <c r="D44" s="40">
        <f>SUM(D38:D43)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mergeCells count="12">
    <mergeCell ref="B35:C35"/>
    <mergeCell ref="B12:C12"/>
    <mergeCell ref="B13:C13"/>
    <mergeCell ref="B14:C14"/>
    <mergeCell ref="B15:C15"/>
    <mergeCell ref="B18:C18"/>
    <mergeCell ref="B26:C26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D34" xr:uid="{871C5555-EB5F-40B7-A05A-52002BBAE5D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C3E4-6CB6-4602-834D-953439EC919C}">
  <dimension ref="B1:I20"/>
  <sheetViews>
    <sheetView showGridLines="0" workbookViewId="0">
      <selection activeCell="G10" sqref="G10"/>
    </sheetView>
  </sheetViews>
  <sheetFormatPr defaultRowHeight="15" x14ac:dyDescent="0.25"/>
  <cols>
    <col min="2" max="2" width="30.85546875" bestFit="1" customWidth="1"/>
    <col min="3" max="3" width="12.140625" bestFit="1" customWidth="1"/>
    <col min="4" max="4" width="19.42578125" bestFit="1" customWidth="1"/>
  </cols>
  <sheetData>
    <row r="1" spans="2:9" ht="15.75" thickBot="1" x14ac:dyDescent="0.3"/>
    <row r="2" spans="2:9" ht="18.75" x14ac:dyDescent="0.3">
      <c r="B2" s="44" t="s">
        <v>32</v>
      </c>
      <c r="C2" s="45" t="s">
        <v>20</v>
      </c>
      <c r="D2" s="45" t="s">
        <v>33</v>
      </c>
      <c r="E2" s="55" t="s">
        <v>31</v>
      </c>
    </row>
    <row r="3" spans="2:9" x14ac:dyDescent="0.25">
      <c r="B3" s="46" t="str">
        <f>C3&amp;"-"&amp;D3</f>
        <v>Conservador-PAPEL</v>
      </c>
      <c r="C3" s="47" t="s">
        <v>17</v>
      </c>
      <c r="D3" s="48" t="s">
        <v>23</v>
      </c>
      <c r="E3" s="56">
        <v>0.3</v>
      </c>
    </row>
    <row r="4" spans="2:9" x14ac:dyDescent="0.25">
      <c r="B4" s="49" t="str">
        <f t="shared" ref="B4:B20" si="0">C4&amp;"-"&amp;D4</f>
        <v>Conservador-TIJOLO</v>
      </c>
      <c r="C4" s="50" t="s">
        <v>17</v>
      </c>
      <c r="D4" s="51" t="s">
        <v>24</v>
      </c>
      <c r="E4" s="57">
        <v>0.5</v>
      </c>
    </row>
    <row r="5" spans="2:9" x14ac:dyDescent="0.25">
      <c r="B5" s="49" t="str">
        <f t="shared" si="0"/>
        <v>Conservador-HIBRIDOS</v>
      </c>
      <c r="C5" s="50" t="s">
        <v>17</v>
      </c>
      <c r="D5" s="51" t="s">
        <v>25</v>
      </c>
      <c r="E5" s="57">
        <v>0.1</v>
      </c>
      <c r="I5" s="41"/>
    </row>
    <row r="6" spans="2:9" x14ac:dyDescent="0.25">
      <c r="B6" s="49" t="str">
        <f t="shared" si="0"/>
        <v>Conservador-FOFS</v>
      </c>
      <c r="C6" s="50" t="s">
        <v>17</v>
      </c>
      <c r="D6" s="51" t="s">
        <v>26</v>
      </c>
      <c r="E6" s="57">
        <v>0.1</v>
      </c>
    </row>
    <row r="7" spans="2:9" x14ac:dyDescent="0.25">
      <c r="B7" s="49" t="str">
        <f t="shared" si="0"/>
        <v>Conservador-DESENVOLVIMENTO</v>
      </c>
      <c r="C7" s="50" t="s">
        <v>17</v>
      </c>
      <c r="D7" s="51" t="s">
        <v>27</v>
      </c>
      <c r="E7" s="57">
        <v>0</v>
      </c>
    </row>
    <row r="8" spans="2:9" ht="15.75" thickBot="1" x14ac:dyDescent="0.3">
      <c r="B8" s="52" t="str">
        <f t="shared" si="0"/>
        <v>Conservador-HOTELARIAS</v>
      </c>
      <c r="C8" s="53" t="s">
        <v>17</v>
      </c>
      <c r="D8" s="54" t="s">
        <v>28</v>
      </c>
      <c r="E8" s="58">
        <v>0</v>
      </c>
    </row>
    <row r="9" spans="2:9" x14ac:dyDescent="0.25">
      <c r="B9" s="46" t="str">
        <f t="shared" si="0"/>
        <v>Moderado-PAPEL</v>
      </c>
      <c r="C9" s="47" t="s">
        <v>18</v>
      </c>
      <c r="D9" s="48" t="s">
        <v>23</v>
      </c>
      <c r="E9" s="56">
        <v>0.32</v>
      </c>
    </row>
    <row r="10" spans="2:9" x14ac:dyDescent="0.25">
      <c r="B10" s="49" t="str">
        <f t="shared" si="0"/>
        <v>Moderado-TIJOLO</v>
      </c>
      <c r="C10" s="50" t="s">
        <v>18</v>
      </c>
      <c r="D10" s="51" t="s">
        <v>24</v>
      </c>
      <c r="E10" s="57">
        <v>0.35</v>
      </c>
    </row>
    <row r="11" spans="2:9" x14ac:dyDescent="0.25">
      <c r="B11" s="49" t="str">
        <f t="shared" si="0"/>
        <v>Moderado-HIBRIDOS</v>
      </c>
      <c r="C11" s="50" t="s">
        <v>18</v>
      </c>
      <c r="D11" s="51" t="s">
        <v>25</v>
      </c>
      <c r="E11" s="57">
        <v>0.08</v>
      </c>
    </row>
    <row r="12" spans="2:9" x14ac:dyDescent="0.25">
      <c r="B12" s="49" t="str">
        <f t="shared" si="0"/>
        <v>Moderado-FOFS</v>
      </c>
      <c r="C12" s="50" t="s">
        <v>18</v>
      </c>
      <c r="D12" s="51" t="s">
        <v>26</v>
      </c>
      <c r="E12" s="57">
        <v>0.05</v>
      </c>
    </row>
    <row r="13" spans="2:9" x14ac:dyDescent="0.25">
      <c r="B13" s="49" t="str">
        <f t="shared" si="0"/>
        <v>Moderado-DESENVOLVIMENTO</v>
      </c>
      <c r="C13" s="50" t="s">
        <v>18</v>
      </c>
      <c r="D13" s="51" t="s">
        <v>27</v>
      </c>
      <c r="E13" s="57">
        <v>0.1</v>
      </c>
    </row>
    <row r="14" spans="2:9" ht="15.75" thickBot="1" x14ac:dyDescent="0.3">
      <c r="B14" s="52" t="str">
        <f t="shared" si="0"/>
        <v>Moderado-HOTELARIAS</v>
      </c>
      <c r="C14" s="53" t="s">
        <v>18</v>
      </c>
      <c r="D14" s="54" t="s">
        <v>28</v>
      </c>
      <c r="E14" s="58">
        <v>0.1</v>
      </c>
    </row>
    <row r="15" spans="2:9" x14ac:dyDescent="0.25">
      <c r="B15" s="46" t="str">
        <f t="shared" si="0"/>
        <v>Agressivo-PAPEL</v>
      </c>
      <c r="C15" s="47" t="s">
        <v>19</v>
      </c>
      <c r="D15" s="48" t="s">
        <v>23</v>
      </c>
      <c r="E15" s="56">
        <v>0.5</v>
      </c>
    </row>
    <row r="16" spans="2:9" x14ac:dyDescent="0.25">
      <c r="B16" s="49" t="str">
        <f t="shared" si="0"/>
        <v>Agressivo-TIJOLO</v>
      </c>
      <c r="C16" s="50" t="s">
        <v>19</v>
      </c>
      <c r="D16" s="51" t="s">
        <v>24</v>
      </c>
      <c r="E16" s="57">
        <v>0.1</v>
      </c>
    </row>
    <row r="17" spans="2:5" x14ac:dyDescent="0.25">
      <c r="B17" s="49" t="str">
        <f t="shared" si="0"/>
        <v>Agressivo-HIBRIDOS</v>
      </c>
      <c r="C17" s="50" t="s">
        <v>19</v>
      </c>
      <c r="D17" s="51" t="s">
        <v>25</v>
      </c>
      <c r="E17" s="57">
        <v>0.05</v>
      </c>
    </row>
    <row r="18" spans="2:5" x14ac:dyDescent="0.25">
      <c r="B18" s="49" t="str">
        <f t="shared" si="0"/>
        <v>Agressivo-FOFS</v>
      </c>
      <c r="C18" s="50" t="s">
        <v>19</v>
      </c>
      <c r="D18" s="51" t="s">
        <v>26</v>
      </c>
      <c r="E18" s="57">
        <v>0.05</v>
      </c>
    </row>
    <row r="19" spans="2:5" x14ac:dyDescent="0.25">
      <c r="B19" s="49" t="str">
        <f t="shared" si="0"/>
        <v>Agressivo-DESENVOLVIMENTO</v>
      </c>
      <c r="C19" s="50" t="s">
        <v>19</v>
      </c>
      <c r="D19" s="51" t="s">
        <v>27</v>
      </c>
      <c r="E19" s="57">
        <v>0.2</v>
      </c>
    </row>
    <row r="20" spans="2:5" ht="15.75" thickBot="1" x14ac:dyDescent="0.3">
      <c r="B20" s="52" t="str">
        <f t="shared" si="0"/>
        <v>Agressivo-HOTELARIAS</v>
      </c>
      <c r="C20" s="53" t="s">
        <v>19</v>
      </c>
      <c r="D20" s="54" t="s">
        <v>28</v>
      </c>
      <c r="E20" s="5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qnd_anos</vt:lpstr>
      <vt:lpstr>rendimento_carteira</vt:lpstr>
      <vt:lpstr>salario</vt:lpstr>
      <vt:lpstr>sugestao_investimento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edvan figueiredo</dc:creator>
  <cp:lastModifiedBy>edvan figueiredo</cp:lastModifiedBy>
  <dcterms:created xsi:type="dcterms:W3CDTF">2026-09-28T11:04:18Z</dcterms:created>
  <dcterms:modified xsi:type="dcterms:W3CDTF">2026-09-29T12:39:02Z</dcterms:modified>
</cp:coreProperties>
</file>